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regisph.sharepoint.com/sites/REGIS-RESEARCH/Shared Documents/Pao/Client Interactions/"/>
    </mc:Choice>
  </mc:AlternateContent>
  <xr:revisionPtr revIDLastSave="522" documentId="13_ncr:1_{B5B103BB-8BF9-4774-8571-36D5753DE7AA}" xr6:coauthVersionLast="47" xr6:coauthVersionMax="47" xr10:uidLastSave="{9625AF89-96E6-408F-A672-572FD0562E97}"/>
  <bookViews>
    <workbookView xWindow="-120" yWindow="-120" windowWidth="29040" windowHeight="15720" activeTab="1" xr2:uid="{77711AF6-C49E-4441-8825-BBD140F26A04}"/>
  </bookViews>
  <sheets>
    <sheet name="Instructions" sheetId="4" r:id="rId1"/>
    <sheet name="Data" sheetId="1" r:id="rId2"/>
    <sheet name="Lookup" sheetId="2" r:id="rId3"/>
  </sheets>
  <calcPr fullCalcOnLoad="1"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Parwaz Gill</author>
  </authors>
  <commentList>
    <comment ref="F1" authorId="0" shapeId="0" xr:uid="{83CF3A88-6FE0-4BB7-8C20-85AD04D091D8}">
      <text>
        <r>
          <rPr>
            <b/>
            <sz val="9"/>
            <color indexed="81"/>
            <rFont val="Tahoma"/>
            <family val="2"/>
          </rPr>
          <t xml:space="preserve">(Cobrand side meeting owner)
</t>
        </r>
        <r>
          <rPr>
            <sz val="9"/>
            <color indexed="81"/>
            <rFont val="Tahoma"/>
            <family val="2"/>
          </rPr>
          <t xml:space="preserve">
</t>
        </r>
      </text>
    </comment>
    <comment ref="H1" authorId="0" shapeId="0" xr:uid="{0D9599C8-764B-47C7-9EC1-A7A34F649DA1}">
      <text>
        <r>
          <rPr>
            <b/>
            <sz val="9"/>
            <color indexed="81"/>
            <rFont val="Tahoma"/>
            <family val="2"/>
          </rPr>
          <t>(i.e. Client Contact) separate with comma</t>
        </r>
        <r>
          <rPr>
            <sz val="9"/>
            <color indexed="81"/>
            <rFont val="Tahoma"/>
            <family val="2"/>
          </rPr>
          <t xml:space="preserve">
</t>
        </r>
      </text>
    </comment>
    <comment ref="I1" authorId="0" shapeId="0" xr:uid="{CDDD480A-BFA0-495F-86C2-278EAFADED74}">
      <text>
        <r>
          <rPr>
            <b/>
            <sz val="9"/>
            <color indexed="81"/>
            <rFont val="Tahoma"/>
            <family val="2"/>
          </rPr>
          <t>(Include Country)</t>
        </r>
      </text>
    </comment>
    <comment ref="K1" authorId="0" shapeId="0" xr:uid="{A60D975F-0096-4933-B84F-33640E87B9EA}">
      <text>
        <r>
          <rPr>
            <sz val="9"/>
            <color indexed="81"/>
            <rFont val="Tahoma"/>
            <family val="2"/>
          </rPr>
          <t xml:space="preserve">(incl. Ticker Exchange, eg. US/HK/TT, etc.*)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<sst xmlns="http://schemas.openxmlformats.org/spreadsheetml/2006/main" count="128" uniqueCount="128">
  <si>
    <t>High-Level Instructions for Completing the Bulk Upload Template</t>
  </si>
  <si>
    <t>1. Make sure Errors (Column O) is always empty. Formula should be applied to all rows.</t>
  </si>
  <si>
    <r>
      <t xml:space="preserve">2. For Date (column D), date format is  </t>
    </r>
    <r>
      <rPr>
        <i/>
        <sz val="11"/>
        <color theme="1"/>
        <rFont val="Aptos Narrow"/>
        <family val="2"/>
        <scheme val="minor"/>
      </rPr>
      <t>mm/dd/yyyy</t>
    </r>
    <r>
      <rPr>
        <sz val="11"/>
        <color theme="1"/>
        <rFont val="Aptos Narrow"/>
        <family val="2"/>
        <scheme val="minor"/>
      </rPr>
      <t xml:space="preserve"> (Standard American).</t>
    </r>
  </si>
  <si>
    <t>3. For Tickers (column L), need to be in the format (‘Ticker Exchange’). For Eg. ‘2308 TT’ is valid. However, NVDA is not valid. We would need ‘NVDA US’. If entering multiple tickers, use ',' (comma) for delimiter.</t>
  </si>
  <si>
    <t>4. For Interaction Owner (Column F), enter the email of the person who will be tagged as owner of the interaction. This is required.</t>
  </si>
  <si>
    <r>
      <t xml:space="preserve">5. For Start Time (column F), enter the time in GMT+8 timezone and in in format </t>
    </r>
    <r>
      <rPr>
        <i/>
        <sz val="11"/>
        <color theme="1"/>
        <rFont val="Aptos Narrow"/>
        <family val="2"/>
        <scheme val="minor"/>
      </rPr>
      <t xml:space="preserve">hh:mm </t>
    </r>
    <r>
      <rPr>
        <sz val="11"/>
        <color theme="1"/>
        <rFont val="Aptos Narrow"/>
        <family val="2"/>
        <scheme val="minor"/>
      </rPr>
      <t>(Military Standard).</t>
    </r>
  </si>
  <si>
    <t>6. For Contact (column H), enter the company email address of the contact attending the meeting. If entering multiple contact attendees, use ',' (comma) for delimiter.</t>
  </si>
  <si>
    <t xml:space="preserve">7. For Other Internal Attendees Emails (column G), please put in the co-brand staff's EMAILS who attended the meeting. If entering multiple attendees, use ',' (comma) for delimiter. As a reminder, you DO NOT need to log any interactions that are also attended by any Jefferies. </t>
  </si>
  <si>
    <t>9. Address Details are only required for in person interactions</t>
  </si>
  <si>
    <t>For any questions, please direct them to Lesther Libarios.</t>
  </si>
  <si>
    <t>Meeting Type</t>
  </si>
  <si>
    <t>Meeting Method</t>
  </si>
  <si>
    <t>Date</t>
  </si>
  <si>
    <t>Start Time</t>
  </si>
  <si>
    <t>Duration (In mins)</t>
  </si>
  <si>
    <t>Internal Attendee</t>
  </si>
  <si>
    <t>Address Type</t>
  </si>
  <si>
    <t>Country</t>
  </si>
  <si>
    <t>GICS Sectors &amp; Industry</t>
  </si>
  <si>
    <t>Notes</t>
  </si>
  <si>
    <t>Errors</t>
  </si>
  <si>
    <t>Outgoing Call</t>
  </si>
  <si>
    <t>In Person</t>
  </si>
  <si>
    <t>Other</t>
  </si>
  <si>
    <t>Incoming Call</t>
  </si>
  <si>
    <t>Energy</t>
  </si>
  <si>
    <t>Virtual</t>
  </si>
  <si>
    <t>Energy Equipment &amp; Services</t>
  </si>
  <si>
    <t>One-Off Client Meeting</t>
  </si>
  <si>
    <t>Email</t>
  </si>
  <si>
    <t>Oil, Gas &amp; Consumable Fuels</t>
  </si>
  <si>
    <t>IB/Email Ideas</t>
  </si>
  <si>
    <t>N/A</t>
  </si>
  <si>
    <t>Materials</t>
  </si>
  <si>
    <t>Model Request</t>
  </si>
  <si>
    <t>Chemicals</t>
  </si>
  <si>
    <t>Bespoke Client Request</t>
  </si>
  <si>
    <t>Construction Materials</t>
  </si>
  <si>
    <t>Testing The Waters</t>
  </si>
  <si>
    <t>Containers &amp; Packaging</t>
  </si>
  <si>
    <t>Corporate Access One Off</t>
  </si>
  <si>
    <t>Metals &amp; Mining</t>
  </si>
  <si>
    <t>Social Meeting</t>
  </si>
  <si>
    <t>Paper &amp; Forest Products</t>
  </si>
  <si>
    <t>Internal Note/Account Review</t>
  </si>
  <si>
    <t>Industrials</t>
  </si>
  <si>
    <t>ECM Deal Call/Meeting</t>
  </si>
  <si>
    <t>Aerospace &amp; Defense</t>
  </si>
  <si>
    <t>Building Products</t>
  </si>
  <si>
    <t>Construction &amp; Engineering</t>
  </si>
  <si>
    <t>Electrical Equipment</t>
  </si>
  <si>
    <t>Industrial Conglomerates</t>
  </si>
  <si>
    <t>Machinery</t>
  </si>
  <si>
    <t>Trading Companies &amp; Distributors</t>
  </si>
  <si>
    <t>Commercial Services &amp; Supplies</t>
  </si>
  <si>
    <t>Professional Services</t>
  </si>
  <si>
    <t>Air Freight &amp; Logistics</t>
  </si>
  <si>
    <t>Passenger Airlines</t>
  </si>
  <si>
    <t>Marine Transportation</t>
  </si>
  <si>
    <t>Ground Transportation</t>
  </si>
  <si>
    <t>Transportation Infrastructure</t>
  </si>
  <si>
    <t>Consumer Discretionary</t>
  </si>
  <si>
    <t>Automobile Components</t>
  </si>
  <si>
    <t>Automobiles</t>
  </si>
  <si>
    <t>Household Durables</t>
  </si>
  <si>
    <t>Leisure Products</t>
  </si>
  <si>
    <t>Textiles, Apparel &amp; Luxury Goods</t>
  </si>
  <si>
    <t>Hotels, Restaurants &amp; Leisure</t>
  </si>
  <si>
    <t>Diversified Consumer Services</t>
  </si>
  <si>
    <t>Distributors</t>
  </si>
  <si>
    <t>Broadline Retail</t>
  </si>
  <si>
    <t>Specialty Retail</t>
  </si>
  <si>
    <t>Consumer Staples</t>
  </si>
  <si>
    <t>Consumer Staples Distribution &amp; Retail</t>
  </si>
  <si>
    <t>Beverages</t>
  </si>
  <si>
    <t>Food Products</t>
  </si>
  <si>
    <t>Tobacco</t>
  </si>
  <si>
    <t>Household Products</t>
  </si>
  <si>
    <t>Personal Care Products</t>
  </si>
  <si>
    <t>Health Care</t>
  </si>
  <si>
    <t>Health Care Equipment &amp; Supplies</t>
  </si>
  <si>
    <t>Health Care Providers &amp; Services</t>
  </si>
  <si>
    <t>Health Care Technology</t>
  </si>
  <si>
    <t>Biotechnology</t>
  </si>
  <si>
    <t>Pharmaceuticals</t>
  </si>
  <si>
    <t>Life Sciences Tools &amp; Services</t>
  </si>
  <si>
    <t>Financials</t>
  </si>
  <si>
    <t>Banks</t>
  </si>
  <si>
    <t>Financial Services</t>
  </si>
  <si>
    <t>Consumer Finance</t>
  </si>
  <si>
    <t>Capital Markets</t>
  </si>
  <si>
    <t>Mortgage Real Estate Investment Trusts (REITs)</t>
  </si>
  <si>
    <t>Insurance</t>
  </si>
  <si>
    <t>Information Technology</t>
  </si>
  <si>
    <t>IT Services</t>
  </si>
  <si>
    <t>Software</t>
  </si>
  <si>
    <t>Communications Equipment</t>
  </si>
  <si>
    <t>Technology Hardware, Storage &amp; Peripherals</t>
  </si>
  <si>
    <t>Electronic Equipment, Instruments &amp; Components</t>
  </si>
  <si>
    <t>Semiconductors &amp; Semiconductor Equipment</t>
  </si>
  <si>
    <t>Communication Services</t>
  </si>
  <si>
    <t>Diversified Telecommunication Services</t>
  </si>
  <si>
    <t>Wireless Telecommunication Services</t>
  </si>
  <si>
    <t>Media</t>
  </si>
  <si>
    <t>Entertainment</t>
  </si>
  <si>
    <t>Interactive Media &amp; Services</t>
  </si>
  <si>
    <t>Utilities</t>
  </si>
  <si>
    <t>Electric Utilities</t>
  </si>
  <si>
    <t>Gas Utilities</t>
  </si>
  <si>
    <t>Multi-Utilities</t>
  </si>
  <si>
    <t>Water Utilities</t>
  </si>
  <si>
    <t>Independent Power and Renewable Electricity Producers</t>
  </si>
  <si>
    <t>Real Estate</t>
  </si>
  <si>
    <t>Diversified REITs</t>
  </si>
  <si>
    <t>Industrial REITs</t>
  </si>
  <si>
    <t>Hotel &amp; Resort REITs</t>
  </si>
  <si>
    <t>Office REITs</t>
  </si>
  <si>
    <t>Health Care REITs</t>
  </si>
  <si>
    <t>Residential REITs</t>
  </si>
  <si>
    <t>Retail REITs</t>
  </si>
  <si>
    <t>Specialized REITs</t>
  </si>
  <si>
    <t>Real Estate Management &amp; Development</t>
  </si>
  <si>
    <t>Interaction Owner</t>
  </si>
  <si>
    <t>External Attendee</t>
  </si>
  <si>
    <t>Economics &amp; Strategy</t>
  </si>
  <si>
    <t>Address</t>
  </si>
  <si>
    <t>Tickers</t>
  </si>
  <si>
    <t>8. For GICS Sectors &amp; Industry (column V), align with GICS classification. Use Sector, Industry Group or Industry (Column M) of lookup and copy-paste using ',' (comma) for delimiter.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</si>
</sst>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mm/dd/yy;@"/>
    <numFmt numFmtId="166" formatCode="mm/dd/yyyy;@"/>
  </numFmts>
  <fonts count="14">
    <font>
      <sz val="11"/>
      <color theme="1"/>
      <name val="Aptos Narrow"/>
      <family val="2"/>
      <scheme val="minor"/>
    </font>
    <font>
      <u/>
      <sz val="11"/>
      <color theme="10"/>
      <name val="Aptos Narrow"/>
      <family val="2"/>
      <scheme val="minor"/>
    </font>
    <font>
      <sz val="12"/>
      <color theme="1"/>
      <name val="Aptos Narrow"/>
      <family val="2"/>
      <charset val="136"/>
      <scheme val="minor"/>
    </font>
    <font>
      <sz val="11"/>
      <color theme="1"/>
      <name val="Aptos Narrow"/>
      <family val="2"/>
      <charset val="129"/>
      <scheme val="minor"/>
    </font>
    <font>
      <u/>
      <sz val="11"/>
      <color theme="10"/>
      <name val="Aptos Narrow"/>
      <family val="2"/>
      <charset val="129"/>
      <scheme val="minor"/>
    </font>
    <font>
      <sz val="11"/>
      <color theme="1"/>
      <name val="微軟正黑體"/>
      <family val="2"/>
      <charset val="136"/>
    </font>
    <font>
      <b/>
      <u/>
      <sz val="14"/>
      <color theme="8" tint="-0.249977111117893"/>
      <name val="Aptos Narrow"/>
      <family val="2"/>
      <scheme val="minor"/>
    </font>
    <font>
      <i/>
      <sz val="11"/>
      <color theme="1"/>
      <name val="Aptos Narrow"/>
      <family val="2"/>
      <scheme val="minor"/>
    </font>
    <font>
      <b/>
      <sz val="11"/>
      <color theme="1"/>
      <name val="Aptos Narrow"/>
      <family val="2"/>
      <scheme val="minor"/>
    </font>
    <font>
      <sz val="8"/>
      <name val="Aptos Narrow"/>
      <family val="2"/>
      <scheme val="minor"/>
    </font>
    <font>
      <sz val="11"/>
      <name val="Aptos Narrow"/>
      <family val="2"/>
      <scheme val="minor"/>
    </font>
    <font>
      <sz val="9"/>
      <color indexed="81"/>
      <name val="Tahoma"/>
      <family val="2"/>
    </font>
    <font>
      <b/>
      <sz val="9"/>
      <color indexed="81"/>
      <name val="Tahoma"/>
      <family val="2"/>
    </font>
    <font>
      <sz val="11"/>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0"/>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s>
  <cellStyleXfs count="7">
    <xf numFmtId="0" fontId="0" fillId="0" borderId="0"/>
    <xf numFmtId="0" fontId="3" fillId="0" borderId="0">
      <alignment vertical="center"/>
    </xf>
    <xf numFmtId="0" fontId="4" fillId="0" borderId="0" applyNumberFormat="0" applyFill="0" applyBorder="0" applyAlignment="0" applyProtection="0">
      <alignment vertical="center"/>
    </xf>
    <xf numFmtId="0" fontId="5" fillId="0" borderId="0">
      <alignment vertical="center"/>
    </xf>
    <xf numFmtId="0" fontId="1" fillId="0" borderId="0" applyNumberFormat="0" applyFill="0" applyBorder="0" applyAlignment="0" applyProtection="0"/>
    <xf numFmtId="0" fontId="2" fillId="0" borderId="0">
      <alignment vertical="center"/>
    </xf>
    <xf numFmtId="9" fontId="13" fillId="0" borderId="0" applyFont="0" applyFill="0" applyBorder="0" applyAlignment="0" applyProtection="0"/>
  </cellStyleXfs>
  <cellXfs count="22">
    <xf numFmtId="0" fontId="0" fillId="0" borderId="0" xfId="0"/>
    <xf numFmtId="0" fontId="0" fillId="0" borderId="1" xfId="0" applyBorder="1"/>
    <xf numFmtId="0" fontId="0" fillId="2" borderId="1" xfId="0" applyFill="1" applyBorder="1"/>
    <xf numFmtId="164" fontId="0" fillId="0" borderId="0" xfId="0" applyNumberFormat="1"/>
    <xf numFmtId="0" fontId="6" fillId="3" borderId="0" xfId="0" applyFont="1" applyFill="1"/>
    <xf numFmtId="0" fontId="0" fillId="3" borderId="0" xfId="0" applyFill="1"/>
    <xf numFmtId="0" fontId="0" fillId="0" borderId="1" xfId="0" applyBorder="1" applyAlignment="1">
      <alignment vertical="center"/>
    </xf>
    <xf numFmtId="165" fontId="0" fillId="0" borderId="1" xfId="0" applyNumberFormat="1" applyBorder="1"/>
    <xf numFmtId="0" fontId="0" fillId="0" borderId="2" xfId="0" applyBorder="1" applyAlignment="1">
      <alignment vertical="top"/>
    </xf>
    <xf numFmtId="20" fontId="0" fillId="0" borderId="2" xfId="0" applyNumberFormat="1" applyBorder="1" applyAlignment="1">
      <alignment vertical="top"/>
    </xf>
    <xf numFmtId="0" fontId="8" fillId="0" borderId="3" xfId="0" applyFont="1" applyBorder="1" applyAlignment="1">
      <alignment horizontal="left" vertical="top" wrapText="1"/>
    </xf>
    <xf numFmtId="0" fontId="8" fillId="4" borderId="1" xfId="0" applyFont="1" applyFill="1" applyBorder="1" applyAlignment="1">
      <alignment horizontal="left" vertical="top" wrapText="1"/>
    </xf>
    <xf numFmtId="164" fontId="8" fillId="4" borderId="1" xfId="0" applyNumberFormat="1" applyFont="1" applyFill="1" applyBorder="1" applyAlignment="1">
      <alignment horizontal="left" vertical="top" wrapText="1"/>
    </xf>
    <xf numFmtId="0" fontId="8" fillId="4" borderId="1" xfId="0" applyFont="1" applyFill="1" applyBorder="1" applyAlignment="1">
      <alignment horizontal="left" vertical="top"/>
    </xf>
    <xf numFmtId="0" fontId="10" fillId="3" borderId="0" xfId="0" applyFont="1" applyFill="1"/>
    <xf numFmtId="0" fontId="10" fillId="0" borderId="0" xfId="0" applyFont="1"/>
    <xf numFmtId="0" fontId="0" fillId="0" borderId="4" xfId="0" applyBorder="1" applyAlignment="1">
      <alignment vertical="center"/>
    </xf>
    <xf numFmtId="20" fontId="0" fillId="0" borderId="2" xfId="0" applyNumberFormat="1" applyBorder="1" applyAlignment="1">
      <alignment horizontal="right" vertical="top"/>
    </xf>
    <xf numFmtId="1" fontId="0" fillId="0" borderId="2" xfId="0" applyNumberFormat="1" applyBorder="1" applyAlignment="1">
      <alignment vertical="top"/>
    </xf>
    <xf numFmtId="166" fontId="0" fillId="0" borderId="2" xfId="0" applyNumberFormat="1" applyBorder="1" applyAlignment="1">
      <alignment vertical="top"/>
    </xf>
    <xf numFmtId="0" fontId="0" fillId="0" borderId="4" xfId="0" applyBorder="1"/>
    <xf numFmtId="9" fontId="0" fillId="0" borderId="1" xfId="6" applyFont="1" applyBorder="1"/>
  </cellXfs>
  <cellStyles count="7">
    <cellStyle name="Normal" xfId="0" builtinId="0"/>
    <cellStyle name="Percent" xfId="6" builtinId="5"/>
    <cellStyle name="표준 2" xfId="1" xr:uid="{918DDEAB-3B74-4886-894D-73D9FF93E8BA}"/>
    <cellStyle name="하이퍼링크 2" xfId="2" xr:uid="{2F58F3AE-CC18-4811-8859-87E6300CDC5D}"/>
    <cellStyle name="一般 2" xfId="3" xr:uid="{816D205A-4B1E-4FA3-954C-EB4266EFD8A8}"/>
    <cellStyle name="一般 3" xfId="5" xr:uid="{A044D542-3F74-423D-9D37-441B91A5810D}"/>
    <cellStyle name="超連結 2" xfId="4" xr:uid="{1BF113CE-53ED-4305-9706-FA5FD89B5F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A8037-5332-4BF7-B40F-F59C13C1F7FC}">
  <sheetPr codeName="Sheet2"/>
  <dimension ref="A1:G12"/>
  <sheetViews>
    <sheetView workbookViewId="0">
      <selection activeCell="K17" sqref="K17"/>
    </sheetView>
  </sheetViews>
  <sheetFormatPr defaultRowHeight="15"/>
  <sheetData>
    <row r="1" spans="1:7" ht="18.75">
      <c r="A1" s="4" t="s">
        <v>0</v>
      </c>
      <c r="B1" s="5"/>
      <c r="C1" s="5"/>
      <c r="D1" s="5"/>
      <c r="E1" s="5"/>
      <c r="F1" s="5"/>
      <c r="G1" s="5"/>
    </row>
    <row r="2" spans="1:7">
      <c r="A2" s="5" t="s">
        <v>1</v>
      </c>
      <c r="B2" s="5"/>
      <c r="C2" s="5"/>
      <c r="D2" s="5"/>
      <c r="E2" s="5"/>
      <c r="F2" s="5"/>
      <c r="G2" s="5"/>
    </row>
    <row r="3" spans="1:7">
      <c r="A3" s="5" t="s">
        <v>2</v>
      </c>
      <c r="B3" s="5"/>
      <c r="C3" s="5"/>
      <c r="D3" s="5"/>
      <c r="E3" s="5"/>
      <c r="F3" s="5"/>
      <c r="G3" s="5"/>
    </row>
    <row r="4" spans="1:7">
      <c r="A4" s="5" t="s">
        <v>3</v>
      </c>
      <c r="B4" s="5"/>
      <c r="C4" s="5"/>
      <c r="D4" s="5"/>
      <c r="E4" s="5"/>
      <c r="F4" s="5"/>
      <c r="G4" s="5"/>
    </row>
    <row r="5" spans="1:7">
      <c r="A5" s="5" t="s">
        <v>4</v>
      </c>
      <c r="B5" s="5"/>
      <c r="C5" s="5"/>
      <c r="D5" s="5"/>
      <c r="E5" s="5"/>
      <c r="F5" s="5"/>
      <c r="G5" s="5"/>
    </row>
    <row r="6" spans="1:7">
      <c r="A6" s="5" t="s">
        <v>5</v>
      </c>
      <c r="B6" s="5"/>
      <c r="C6" s="5"/>
      <c r="D6" s="5"/>
      <c r="E6" s="5"/>
      <c r="F6" s="5"/>
      <c r="G6" s="5"/>
    </row>
    <row r="7" spans="1:7">
      <c r="A7" s="5" t="s">
        <v>6</v>
      </c>
      <c r="B7" s="5"/>
      <c r="C7" s="5"/>
      <c r="D7" s="5"/>
      <c r="E7" s="5"/>
      <c r="F7" s="5"/>
      <c r="G7" s="5"/>
    </row>
    <row r="8" spans="1:7" s="15" customFormat="1">
      <c r="A8" s="14" t="s">
        <v>7</v>
      </c>
      <c r="B8" s="14"/>
      <c r="C8" s="14"/>
      <c r="D8" s="14"/>
      <c r="E8" s="14"/>
      <c r="F8" s="14"/>
      <c r="G8" s="14"/>
    </row>
    <row r="9" spans="1:7">
      <c r="A9" s="1" t="s">
        <v>127</v>
      </c>
      <c r="B9" s="5"/>
      <c r="C9" s="5"/>
      <c r="D9" s="5"/>
      <c r="E9" s="5"/>
      <c r="F9" s="5"/>
      <c r="G9" s="5"/>
    </row>
    <row r="10" spans="1:7">
      <c r="A10" s="5" t="s">
        <v>8</v>
      </c>
    </row>
    <row r="11" spans="1:7">
      <c r="A11" s="5"/>
    </row>
    <row r="12" spans="1:7">
      <c r="A12" s="5" t="s">
        <v>9</v>
      </c>
    </row>
  </sheetData>
  <pageMargins left="0.7" right="0.7" top="0.75" bottom="0.75" header="0.3" footer="0.3"/>
  <headerFooter>
    <oddFooter>&amp;L_x000D_&amp;1#&amp;"Aptos"&amp;10&amp;K000000 For internal use only</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F9C9E-1224-4449-B540-8A90D7CF23F1}">
  <sheetPr codeName="Sheet1"/>
  <dimension ref="A1:N2"/>
  <sheetViews>
    <sheetView tabSelected="1" zoomScaleNormal="100" workbookViewId="0">
      <selection activeCell="H29" sqref="H29"/>
    </sheetView>
  </sheetViews>
  <sheetFormatPr defaultRowHeight="15"/>
  <cols>
    <col min="1" max="1" width="21" bestFit="1" customWidth="1"/>
    <col min="2" max="2" width="19.7109375" customWidth="1"/>
    <col min="3" max="3" width="10.42578125" style="3" customWidth="1"/>
    <col min="4" max="4" width="9.7109375" bestFit="1" customWidth="1"/>
    <col min="5" max="5" width="10.28515625" customWidth="1"/>
    <col min="6" max="6" width="18" customWidth="1"/>
    <col min="7" max="7" width="15.42578125" customWidth="1"/>
    <col min="8" max="8" width="113.42578125" bestFit="1" customWidth="1"/>
    <col min="9" max="9" width="14.85546875" customWidth="1"/>
    <col min="10" max="10" width="16.85546875" bestFit="1" customWidth="1"/>
    <col min="11" max="11" width="57.28515625" bestFit="1" customWidth="1"/>
    <col min="12" max="12" width="22.28515625" bestFit="1" customWidth="1"/>
    <col min="13" max="13" width="64.140625" bestFit="1" customWidth="1"/>
    <col min="14" max="14" width="112.5703125" bestFit="1" customWidth="1"/>
  </cols>
  <sheetData>
    <row r="1" spans="1:14" s="10" customFormat="1" ht="30">
      <c r="A1" s="11" t="s">
        <v>10</v>
      </c>
      <c r="B1" s="11" t="s">
        <v>11</v>
      </c>
      <c r="C1" s="12" t="s">
        <v>12</v>
      </c>
      <c r="D1" s="11" t="s">
        <v>13</v>
      </c>
      <c r="E1" s="11" t="s">
        <v>14</v>
      </c>
      <c r="F1" s="11" t="s">
        <v>122</v>
      </c>
      <c r="G1" s="11" t="s">
        <v>15</v>
      </c>
      <c r="H1" s="11" t="s">
        <v>123</v>
      </c>
      <c r="I1" s="11" t="s">
        <v>125</v>
      </c>
      <c r="J1" s="11" t="s">
        <v>17</v>
      </c>
      <c r="K1" s="11" t="s">
        <v>126</v>
      </c>
      <c r="L1" s="11" t="s">
        <v>18</v>
      </c>
      <c r="M1" s="11" t="s">
        <v>19</v>
      </c>
      <c r="N1" s="13" t="s">
        <v>20</v>
      </c>
    </row>
    <row r="2" spans="1:14">
      <c r="A2" s="1"/>
      <c r="B2" s="1"/>
      <c r="C2" s="19"/>
      <c r="D2" s="17"/>
      <c r="E2" s="18"/>
      <c r="F2" s="1"/>
      <c r="G2" s="1"/>
      <c r="H2" s="1"/>
      <c r="I2" s="1"/>
      <c r="J2" s="1"/>
      <c r="K2" s="1"/>
      <c r="L2" s="1"/>
      <c r="M2" s="1"/>
      <c r="N2" s="8" cm="1" t="str">
        <f t="array" aca="1" ref="N2" ca="1">_xlfn.TEXTJOIN(
    CHAR(10), TRUE,
    IF(COUNTIF(Lookup!$A$2:$A$13, A2) = 0, "Invalid Meeting Type;", ""),
    IF(OR(A2 = "One-Off Client Meeting", A2 = "ECM Deal Call/Meeting", A2 = "Corporate Access One Off"),
        IF(OR(B2 = "In Person", B2 = "Virtual"), "", "Invalid Meeting Method for " &amp; A2 &amp; ". Valid Values: In Person, Virtual;"),
        IF(OR(A2 = "Incoming Call", A2 = "Outgoing Call", A2 = "Testing The Waters"),
            IF(B2 = "N/A", "", "Invalid Meeting Method for " &amp; A2 &amp; ". Valid Value: N/A;"),
            IF(OR(A2 = "IB/Email Ideas", A2 = "Model Request", A2 = "Bespoke Client Request", A2 = "Internal Note/Account Review"),
                IF(B2 = "Email", "", "Invalid Meeting Method for " &amp; A2 &amp; ". Valid Value: Email;"),
                IF(A2 = "Social Meeting",
                    IF(B2 = "In Person", "", "Invalid Meeting Method for Social Meeting. Valid Value: In Person;"),
                    ""
                )
            )
        )
    ),IF(AND(ISNUMBER(C2), TEXT(C2, "yyyy-MM-dd") = TEXT(C2, "yyyy-MM-dd")), "", "Invalid Date"),
    IF(OR(ISBLANK(D2), NOT(ISNUMBER(D2))), "Invalid or missing Start Time", ""),
    IF(OR(NOT(ISNUMBER(E2)), E2 &lt; 15, E2 &gt; 480), "Invalid Duration. Duration must be between 15 to 480", ""),
    IF(AND(B2 = "In Person",  ISBLANK(I2)), "Address is required for In Person Meetings", ""),
    IF(AND(B2 = "In Person", ISBLANK(J2)), "Country is required for In Person Meetings", ""),
IF(AND(B2 &lt;&gt; "In Person", OR(NOT(ISBLANK(I2)), NOT(ISBLANK(J2)))), "All address fields must be empty for non-In Person meetings", ""),
  IF(TRIM(G2)="", "Attendees field is required",
    IF(LEN(G2)&lt;5, "Email too short",
      IF(ISERROR(FIND("@",G2)), "Must contain valid email addresses",
         IF(SUMPRODUCT(--(LEN(TRIM(MID(SUBSTITUTE(","&amp;G2&amp;",",",",REPT(" ",255)),ROW(INDIRECT("1:"&amp;LEN(G2)-LEN(SUBSTITUTE(G2,",",""))+1))*255,255)))&lt;5)) &gt; 0, "All Internal attendees emails must be at least 5 characters",
            IF(SUMPRODUCT(--(ISERROR(FIND("@",TRIM(MID(SUBSTITUTE(","&amp;G2&amp;",",",",REPT(" ",255)),ROW(INDIRECT("1:"&amp;LEN(G2)-LEN(SUBSTITUTE(G2,",",""))+1))*255,255)))))) &gt; 0, "All Internal attendees emails must contain @ symbol", ""))))),
    IF(TRIM(H2)="", "External Attendees field is required",
    IF(LEN(H2)&lt;5, "Email too short for external attendee",
      IF(ISERROR(FIND("@",H2)), "External Attendee Must contain valid email addresses",
         IF(SUMPRODUCT(--(LEN(TRIM(MID(SUBSTITUTE(","&amp;H2&amp;",",",",REPT(" ",255)),ROW(INDIRECT("1:"&amp;LEN(H2)-LEN(SUBSTITUTE(H2,",",""))+1))*255,255)))&lt;5)) &gt; 0, "All External Attendee emails must be at least 5 characters",
            IF(SUMPRODUCT(--(ISERROR(FIND("@",TRIM(MID(SUBSTITUTE(","&amp;H2&amp;",",",",REPT(" ",255)),ROW(INDIRECT("1:"&amp;LEN(H2)-LEN(SUBSTITUTE(H2,",",""))+1))*255,255)))))) &gt; 0, "All External attendees emails must contain @ symbol", ""))))),
    IF(TRIM(F2)="", "Owner field is required",
     IF(NOT(ISERROR(FIND(",",F2))), "Owner must be a single email (no commas)",
      IF(OR(LEN(F2)&lt;=5, ISERROR(FIND("@",F2)), ISERROR(FIND(".",F2,FIND("@",F2)))), "Invalid email format for Owner", ""))),
      IF(AND(TRIM(K2)="", TRIM(L2)=""), "Either Tickers or GICS Sectors &amp; Industry must be populated", "")
    )</f>
      </c>
    </row>
  </sheetData>
  <phoneticPr fontId="9" type="noConversion"/>
  <dataValidations count="3">
    <dataValidation type="whole" allowBlank="1" showInputMessage="1" showErrorMessage="1" errorTitle="Invalid Duration" error="Invalid Duration. Duration must be number and between 0 to 480" sqref="E119:E1048576 E1:E64" xr:uid="{C3E8156A-D041-428E-860E-E083EEF7C336}">
      <formula1>15</formula1>
      <formula2>480</formula2>
    </dataValidation>
    <dataValidation showInputMessage="1" showErrorMessage="1" sqref="K118 K97:K98 K100:K103 K105 K111:K114 L68:L71 L73:L79 L81:L153 L29:L65 L5 L24:L26 L3 L19:L21 L9:L16" xr:uid="{5E30665A-574B-4F1D-AA08-4BBB2DAF1AEB}"/>
    <dataValidation type="whole" allowBlank="1" showInputMessage="1" showErrorMessage="1" errorTitle="Invalid Duration" error="Invalid Duration. Duration must be number and between 0 to 480" sqref="E65:E118" xr:uid="{364A94AF-FEDB-4F75-8174-DF83AADAA110}">
      <formula1>1</formula1>
      <formula2>480</formula2>
    </dataValidation>
  </dataValidations>
  <pageMargins left="0.7" right="0.7" top="0.75" bottom="0.75" header="0.3" footer="0.3"/>
  <pageSetup orientation="portrait" horizontalDpi="90" verticalDpi="90" r:id="rId4"/>
  <headerFooter>
    <oddFooter>&amp;L_x000D_&amp;1#&amp;"Aptos"&amp;10&amp;K000000 For internal use only</oddFooter>
  </headerFooter>
  <legacyDrawing r:id="rId5"/>
  <extLst>
    <ext xmlns:x14="http://schemas.microsoft.com/office/spreadsheetml/2009/9/main" uri="{CCE6A557-97BC-4b89-ADB6-D9C93CAAB3DF}">
      <x14:dataValidations xmlns:xm="http://schemas.microsoft.com/office/excel/2006/main" count="2">
        <x14:dataValidation type="list" allowBlank="1" showInputMessage="1" showErrorMessage="1" xr:uid="{337172E7-8167-446F-BA30-0C088C8D5401}">
          <x14:formula1>
            <xm:f>Lookup!$A$2:$A$12</xm:f>
          </x14:formula1>
          <xm:sqref>A1:A1048576</xm:sqref>
        </x14:dataValidation>
        <x14:dataValidation type="list" allowBlank="1" showInputMessage="1" showErrorMessage="1" xr:uid="{C814C93A-C956-4DFD-AC28-D7D63632EE82}">
          <x14:formula1>
            <xm:f>Lookup!$C$2:$C$5</xm:f>
          </x14:formula1>
          <xm:sqref>B1:B10 B12:B1048576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AF929-0D42-456F-B53E-02D3869F49CD}">
  <sheetPr codeName="Sheet3"/>
  <dimension ref="A1:G87"/>
  <sheetViews>
    <sheetView workbookViewId="0">
      <selection activeCell="A2" sqref="A2"/>
    </sheetView>
  </sheetViews>
  <sheetFormatPr defaultRowHeight="15"/>
  <cols>
    <col min="1" max="1" width="27.28515625" bestFit="1" customWidth="1"/>
    <col min="3" max="3" width="15" bestFit="1" customWidth="1"/>
    <col min="4" max="4" width="11.85546875" customWidth="1"/>
    <col min="5" max="5" width="12.5703125" bestFit="1" customWidth="1"/>
    <col min="7" max="7" width="34.85546875" customWidth="1"/>
  </cols>
  <sheetData>
    <row r="1" spans="1:7">
      <c r="A1" s="2" t="s">
        <v>10</v>
      </c>
      <c r="C1" s="2" t="s">
        <v>11</v>
      </c>
      <c r="E1" s="2" t="s">
        <v>16</v>
      </c>
      <c r="G1" s="2" t="s">
        <v>18</v>
      </c>
    </row>
    <row r="2" spans="1:7">
      <c r="A2" s="1" t="s">
        <v>24</v>
      </c>
      <c r="C2" s="1" t="s">
        <v>22</v>
      </c>
      <c r="E2" s="1" t="s">
        <v>23</v>
      </c>
      <c r="G2" s="1" t="s">
        <v>25</v>
      </c>
    </row>
    <row r="3" spans="1:7">
      <c r="A3" s="1" t="s">
        <v>21</v>
      </c>
      <c r="C3" s="1" t="s">
        <v>26</v>
      </c>
      <c r="G3" s="6" t="s">
        <v>27</v>
      </c>
    </row>
    <row r="4" spans="1:7">
      <c r="A4" s="1" t="s">
        <v>28</v>
      </c>
      <c r="C4" s="1" t="s">
        <v>29</v>
      </c>
      <c r="G4" s="6" t="s">
        <v>30</v>
      </c>
    </row>
    <row r="5" spans="1:7">
      <c r="A5" s="1" t="s">
        <v>31</v>
      </c>
      <c r="C5" s="1" t="s">
        <v>32</v>
      </c>
      <c r="G5" s="6" t="s">
        <v>33</v>
      </c>
    </row>
    <row r="6" spans="1:7">
      <c r="A6" s="1" t="s">
        <v>34</v>
      </c>
      <c r="G6" s="6" t="s">
        <v>35</v>
      </c>
    </row>
    <row r="7" spans="1:7">
      <c r="A7" s="1" t="s">
        <v>36</v>
      </c>
      <c r="G7" s="6" t="s">
        <v>37</v>
      </c>
    </row>
    <row r="8" spans="1:7">
      <c r="A8" s="1" t="s">
        <v>38</v>
      </c>
      <c r="G8" s="6" t="s">
        <v>39</v>
      </c>
    </row>
    <row r="9" spans="1:7">
      <c r="A9" t="s">
        <v>40</v>
      </c>
      <c r="G9" s="6" t="s">
        <v>41</v>
      </c>
    </row>
    <row r="10" spans="1:7">
      <c r="A10" s="1" t="s">
        <v>42</v>
      </c>
      <c r="G10" s="6" t="s">
        <v>43</v>
      </c>
    </row>
    <row r="11" spans="1:7">
      <c r="A11" s="1" t="s">
        <v>44</v>
      </c>
      <c r="G11" s="6" t="s">
        <v>45</v>
      </c>
    </row>
    <row r="12" spans="1:7">
      <c r="A12" s="1" t="s">
        <v>46</v>
      </c>
      <c r="G12" s="6" t="s">
        <v>47</v>
      </c>
    </row>
    <row r="13" spans="1:7">
      <c r="G13" s="6" t="s">
        <v>48</v>
      </c>
    </row>
    <row r="14" spans="1:7">
      <c r="G14" s="6" t="s">
        <v>49</v>
      </c>
    </row>
    <row r="15" spans="1:7">
      <c r="G15" s="6" t="s">
        <v>50</v>
      </c>
    </row>
    <row r="16" spans="1:7">
      <c r="G16" s="6" t="s">
        <v>51</v>
      </c>
    </row>
    <row r="17" spans="7:7">
      <c r="G17" s="6" t="s">
        <v>52</v>
      </c>
    </row>
    <row r="18" spans="7:7">
      <c r="G18" s="6" t="s">
        <v>53</v>
      </c>
    </row>
    <row r="19" spans="7:7">
      <c r="G19" s="6" t="s">
        <v>54</v>
      </c>
    </row>
    <row r="20" spans="7:7">
      <c r="G20" s="6" t="s">
        <v>55</v>
      </c>
    </row>
    <row r="21" spans="7:7">
      <c r="G21" s="6" t="s">
        <v>56</v>
      </c>
    </row>
    <row r="22" spans="7:7">
      <c r="G22" s="6" t="s">
        <v>57</v>
      </c>
    </row>
    <row r="23" spans="7:7">
      <c r="G23" s="6" t="s">
        <v>58</v>
      </c>
    </row>
    <row r="24" spans="7:7">
      <c r="G24" s="6" t="s">
        <v>59</v>
      </c>
    </row>
    <row r="25" spans="7:7">
      <c r="G25" s="6" t="s">
        <v>60</v>
      </c>
    </row>
    <row r="26" spans="7:7">
      <c r="G26" s="6" t="s">
        <v>61</v>
      </c>
    </row>
    <row r="27" spans="7:7">
      <c r="G27" s="6" t="s">
        <v>62</v>
      </c>
    </row>
    <row r="28" spans="7:7">
      <c r="G28" s="6" t="s">
        <v>63</v>
      </c>
    </row>
    <row r="29" spans="7:7">
      <c r="G29" s="6" t="s">
        <v>64</v>
      </c>
    </row>
    <row r="30" spans="7:7">
      <c r="G30" s="6" t="s">
        <v>65</v>
      </c>
    </row>
    <row r="31" spans="7:7">
      <c r="G31" s="6" t="s">
        <v>66</v>
      </c>
    </row>
    <row r="32" spans="7:7">
      <c r="G32" s="6" t="s">
        <v>67</v>
      </c>
    </row>
    <row r="33" spans="7:7">
      <c r="G33" s="6" t="s">
        <v>68</v>
      </c>
    </row>
    <row r="34" spans="7:7">
      <c r="G34" s="6" t="s">
        <v>69</v>
      </c>
    </row>
    <row r="35" spans="7:7">
      <c r="G35" s="6" t="s">
        <v>70</v>
      </c>
    </row>
    <row r="36" spans="7:7">
      <c r="G36" s="6" t="s">
        <v>71</v>
      </c>
    </row>
    <row r="37" spans="7:7">
      <c r="G37" s="6" t="s">
        <v>72</v>
      </c>
    </row>
    <row r="38" spans="7:7">
      <c r="G38" s="6" t="s">
        <v>73</v>
      </c>
    </row>
    <row r="39" spans="7:7">
      <c r="G39" s="6" t="s">
        <v>74</v>
      </c>
    </row>
    <row r="40" spans="7:7">
      <c r="G40" s="6" t="s">
        <v>75</v>
      </c>
    </row>
    <row r="41" spans="7:7">
      <c r="G41" s="6" t="s">
        <v>76</v>
      </c>
    </row>
    <row r="42" spans="7:7">
      <c r="G42" s="6" t="s">
        <v>77</v>
      </c>
    </row>
    <row r="43" spans="7:7">
      <c r="G43" s="6" t="s">
        <v>78</v>
      </c>
    </row>
    <row r="44" spans="7:7">
      <c r="G44" s="6" t="s">
        <v>79</v>
      </c>
    </row>
    <row r="45" spans="7:7">
      <c r="G45" s="6" t="s">
        <v>80</v>
      </c>
    </row>
    <row r="46" spans="7:7">
      <c r="G46" s="6" t="s">
        <v>81</v>
      </c>
    </row>
    <row r="47" spans="7:7">
      <c r="G47" s="6" t="s">
        <v>82</v>
      </c>
    </row>
    <row r="48" spans="7:7">
      <c r="G48" s="6" t="s">
        <v>83</v>
      </c>
    </row>
    <row r="49" spans="7:7">
      <c r="G49" s="6" t="s">
        <v>84</v>
      </c>
    </row>
    <row r="50" spans="7:7">
      <c r="G50" s="6" t="s">
        <v>85</v>
      </c>
    </row>
    <row r="51" spans="7:7">
      <c r="G51" s="6" t="s">
        <v>86</v>
      </c>
    </row>
    <row r="52" spans="7:7">
      <c r="G52" s="6" t="s">
        <v>87</v>
      </c>
    </row>
    <row r="53" spans="7:7">
      <c r="G53" s="6" t="s">
        <v>88</v>
      </c>
    </row>
    <row r="54" spans="7:7">
      <c r="G54" s="6" t="s">
        <v>89</v>
      </c>
    </row>
    <row r="55" spans="7:7">
      <c r="G55" s="6" t="s">
        <v>90</v>
      </c>
    </row>
    <row r="56" spans="7:7">
      <c r="G56" s="6" t="s">
        <v>91</v>
      </c>
    </row>
    <row r="57" spans="7:7">
      <c r="G57" s="6" t="s">
        <v>92</v>
      </c>
    </row>
    <row r="58" spans="7:7">
      <c r="G58" s="6" t="s">
        <v>93</v>
      </c>
    </row>
    <row r="59" spans="7:7">
      <c r="G59" s="6" t="s">
        <v>94</v>
      </c>
    </row>
    <row r="60" spans="7:7">
      <c r="G60" s="6" t="s">
        <v>95</v>
      </c>
    </row>
    <row r="61" spans="7:7">
      <c r="G61" s="6" t="s">
        <v>96</v>
      </c>
    </row>
    <row r="62" spans="7:7">
      <c r="G62" s="6" t="s">
        <v>97</v>
      </c>
    </row>
    <row r="63" spans="7:7">
      <c r="G63" s="6" t="s">
        <v>98</v>
      </c>
    </row>
    <row r="64" spans="7:7">
      <c r="G64" s="6" t="s">
        <v>99</v>
      </c>
    </row>
    <row r="65" spans="7:7">
      <c r="G65" s="6" t="s">
        <v>100</v>
      </c>
    </row>
    <row r="66" spans="7:7">
      <c r="G66" s="6" t="s">
        <v>101</v>
      </c>
    </row>
    <row r="67" spans="7:7">
      <c r="G67" s="6" t="s">
        <v>102</v>
      </c>
    </row>
    <row r="68" spans="7:7">
      <c r="G68" s="6" t="s">
        <v>103</v>
      </c>
    </row>
    <row r="69" spans="7:7">
      <c r="G69" s="6" t="s">
        <v>104</v>
      </c>
    </row>
    <row r="70" spans="7:7">
      <c r="G70" s="6" t="s">
        <v>105</v>
      </c>
    </row>
    <row r="71" spans="7:7">
      <c r="G71" s="6" t="s">
        <v>106</v>
      </c>
    </row>
    <row r="72" spans="7:7">
      <c r="G72" s="6" t="s">
        <v>107</v>
      </c>
    </row>
    <row r="73" spans="7:7">
      <c r="G73" s="6" t="s">
        <v>108</v>
      </c>
    </row>
    <row r="74" spans="7:7">
      <c r="G74" s="6" t="s">
        <v>109</v>
      </c>
    </row>
    <row r="75" spans="7:7">
      <c r="G75" s="6" t="s">
        <v>110</v>
      </c>
    </row>
    <row r="76" spans="7:7">
      <c r="G76" s="6" t="s">
        <v>111</v>
      </c>
    </row>
    <row r="77" spans="7:7">
      <c r="G77" s="6" t="s">
        <v>112</v>
      </c>
    </row>
    <row r="78" spans="7:7">
      <c r="G78" s="6" t="s">
        <v>113</v>
      </c>
    </row>
    <row r="79" spans="7:7">
      <c r="G79" s="6" t="s">
        <v>114</v>
      </c>
    </row>
    <row r="80" spans="7:7">
      <c r="G80" s="6" t="s">
        <v>115</v>
      </c>
    </row>
    <row r="81" spans="7:7">
      <c r="G81" s="6" t="s">
        <v>116</v>
      </c>
    </row>
    <row r="82" spans="7:7">
      <c r="G82" s="6" t="s">
        <v>117</v>
      </c>
    </row>
    <row r="83" spans="7:7">
      <c r="G83" s="6" t="s">
        <v>118</v>
      </c>
    </row>
    <row r="84" spans="7:7">
      <c r="G84" s="6" t="s">
        <v>119</v>
      </c>
    </row>
    <row r="85" spans="7:7">
      <c r="G85" s="6" t="s">
        <v>120</v>
      </c>
    </row>
    <row r="86" spans="7:7">
      <c r="G86" s="6" t="s">
        <v>121</v>
      </c>
    </row>
    <row r="87" spans="7:7">
      <c r="G87" s="16" t="s">
        <v>124</v>
      </c>
    </row>
  </sheetData>
  <pageMargins left="0.7" right="0.7" top="0.75" bottom="0.75" header="0.3" footer="0.3"/>
  <pageSetup orientation="portrait" r:id="rId1"/>
  <headerFooter>
    <oddFooter>&amp;L_x000D_&amp;1#&amp;"Aptos"&amp;10&amp;K000000 For internal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D9BC53DC370474DA92B5906C89BC36F" ma:contentTypeVersion="15" ma:contentTypeDescription="Create a new document." ma:contentTypeScope="" ma:versionID="c24f9df22e58c28acd30033d7d30da9e">
  <xsd:schema xmlns:xsd="http://www.w3.org/2001/XMLSchema" xmlns:xs="http://www.w3.org/2001/XMLSchema" xmlns:p="http://schemas.microsoft.com/office/2006/metadata/properties" xmlns:ns2="564019d7-b5c5-4a0c-8b20-9c4dbbf583e7" xmlns:ns3="923b0d38-aa6f-4e92-b89a-1e8a8bfa502b" targetNamespace="http://schemas.microsoft.com/office/2006/metadata/properties" ma:root="true" ma:fieldsID="da2d6a83e224522014fceff9fce9399d" ns2:_="" ns3:_="">
    <xsd:import namespace="564019d7-b5c5-4a0c-8b20-9c4dbbf583e7"/>
    <xsd:import namespace="923b0d38-aa6f-4e92-b89a-1e8a8bfa502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3:SharedWithUsers" minOccurs="0"/>
                <xsd:element ref="ns3:SharedWithDetail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4019d7-b5c5-4a0c-8b20-9c4dbbf583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798a34dd-9de8-4d03-b157-8e0397196032"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3b0d38-aa6f-4e92-b89a-1e8a8bfa502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b2e8c78-d329-4db0-ac2d-050226c73fb6}" ma:internalName="TaxCatchAll" ma:showField="CatchAllData" ma:web="923b0d38-aa6f-4e92-b89a-1e8a8bfa502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64019d7-b5c5-4a0c-8b20-9c4dbbf583e7">
      <Terms xmlns="http://schemas.microsoft.com/office/infopath/2007/PartnerControls"/>
    </lcf76f155ced4ddcb4097134ff3c332f>
    <TaxCatchAll xmlns="923b0d38-aa6f-4e92-b89a-1e8a8bfa502b" xsi:nil="true"/>
  </documentManagement>
</p:properties>
</file>

<file path=customXml/itemProps1.xml><?xml version="1.0" encoding="utf-8"?>
<ds:datastoreItem xmlns:ds="http://schemas.openxmlformats.org/officeDocument/2006/customXml" ds:itemID="{A25F2EF7-A574-4247-8055-4AA9CE84DFB0}">
  <ds:schemaRefs>
    <ds:schemaRef ds:uri="http://schemas.microsoft.com/sharepoint/v3/contenttype/forms"/>
  </ds:schemaRefs>
</ds:datastoreItem>
</file>

<file path=customXml/itemProps2.xml><?xml version="1.0" encoding="utf-8"?>
<ds:datastoreItem xmlns:ds="http://schemas.openxmlformats.org/officeDocument/2006/customXml" ds:itemID="{EC17C784-E2B2-4DFF-890B-7045C869E0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4019d7-b5c5-4a0c-8b20-9c4dbbf583e7"/>
    <ds:schemaRef ds:uri="923b0d38-aa6f-4e92-b89a-1e8a8bfa50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BEC681E-44C7-4E45-AA12-89E8A93F1334}">
  <ds:schemaRefs>
    <ds:schemaRef ds:uri="http://purl.org/dc/dcmitype/"/>
    <ds:schemaRef ds:uri="http://schemas.microsoft.com/office/2006/metadata/properties"/>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0bd571ba-118e-48ef-9f8e-16c852cdbde5"/>
    <ds:schemaRef ds:uri="b79bd5e1-fe7c-42db-8dad-d125adbe6316"/>
    <ds:schemaRef ds:uri="http://www.w3.org/XML/1998/namespace"/>
    <ds:schemaRef ds:uri="http://purl.org/dc/elements/1.1/"/>
    <ds:schemaRef ds:uri="564019d7-b5c5-4a0c-8b20-9c4dbbf583e7"/>
    <ds:schemaRef ds:uri="923b0d38-aa6f-4e92-b89a-1e8a8bfa50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Lookup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Shekhar Hanbar</dc:creator>
  <cp:keywords/>
  <dc:description/>
  <cp:lastModifiedBy>Paolo Gabriel Garcia</cp:lastModifiedBy>
  <cp:revision/>
  <dcterms:created xsi:type="dcterms:W3CDTF">2025-08-19T09:26:56Z</dcterms:created>
  <dcterms:modified xsi:type="dcterms:W3CDTF">2026-09-01T07:46:12Z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0x0101007D9BC53DC370474DA92B5906C89BC36F</vt:lpwstr>
  </property>
  <property fmtid="{D5CDD505-2E9C-101B-9397-08002B2CF9AE}" pid="3" name="MSIP_Label_f1d4692e-09ec-4150-9db2-a29b77fb5f65_Enabled">
    <vt:lpwstr>true</vt:lpwstr>
  </property>
  <property fmtid="{D5CDD505-2E9C-101B-9397-08002B2CF9AE}" pid="4" name="MSIP_Label_f1d4692e-09ec-4150-9db2-a29b77fb5f65_SetDate">
    <vt:lpwstr>2025-12-22T03:14:36Z</vt:lpwstr>
  </property>
  <property fmtid="{D5CDD505-2E9C-101B-9397-08002B2CF9AE}" pid="5" name="MSIP_Label_f1d4692e-09ec-4150-9db2-a29b77fb5f65_Method">
    <vt:lpwstr>Privileged</vt:lpwstr>
  </property>
  <property fmtid="{D5CDD505-2E9C-101B-9397-08002B2CF9AE}" pid="6" name="MSIP_Label_f1d4692e-09ec-4150-9db2-a29b77fb5f65_Name">
    <vt:lpwstr>Internal</vt:lpwstr>
  </property>
  <property fmtid="{D5CDD505-2E9C-101B-9397-08002B2CF9AE}" pid="7" name="MSIP_Label_f1d4692e-09ec-4150-9db2-a29b77fb5f65_SiteId">
    <vt:lpwstr>f220d6d2-5abb-4cd1-8549-341de22fe690</vt:lpwstr>
  </property>
  <property fmtid="{D5CDD505-2E9C-101B-9397-08002B2CF9AE}" pid="8" name="MSIP_Label_f1d4692e-09ec-4150-9db2-a29b77fb5f65_ActionId">
    <vt:lpwstr>b82cfbde-190f-49dc-aa78-b875cb187229</vt:lpwstr>
  </property>
  <property fmtid="{D5CDD505-2E9C-101B-9397-08002B2CF9AE}" pid="9" name="MSIP_Label_f1d4692e-09ec-4150-9db2-a29b77fb5f65_ContentBits">
    <vt:lpwstr>2</vt:lpwstr>
  </property>
  <property fmtid="{D5CDD505-2E9C-101B-9397-08002B2CF9AE}" pid="10" name="MSIP_Label_f1d4692e-09ec-4150-9db2-a29b77fb5f65_Tag">
    <vt:lpwstr>10, 0, 1, 1</vt:lpwstr>
  </property>
  <property fmtid="{D5CDD505-2E9C-101B-9397-08002B2CF9AE}" pid="11" name="MediaServiceImageTags">
    <vt:lpwstr/>
  </property>
</Properties>
</file>